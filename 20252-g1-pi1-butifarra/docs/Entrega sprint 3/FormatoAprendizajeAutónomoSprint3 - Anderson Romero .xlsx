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22F7C0D6-B55F-4AD5-A04E-A779B4F2127D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<sst xmlns="http://schemas.openxmlformats.org/spreadsheetml/2006/main" count="131" uniqueCount="79">
  <si>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</si>
  <si>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</si>
  <si>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</si>
  <si>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</si>
  <si>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</si>
  <si>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</si>
  <si>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</si>
  <si>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</si>
  <si>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</si>
  <si>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</si>
  <si>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</si>
  <si>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</si>
  <si>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</si>
  <si>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</si>
  <si>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</si>
  <si>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</si>
  <si>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</si>
  <si>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</si>
  <si>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</si>
  <si>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</si>
  <si>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</si>
  <si>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</si>
  <si>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</si>
  <si>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</si>
  <si>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</si>
  <si>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</si>
  <si>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</si>
  <si>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</si>
  <si>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</si>
  <si>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</si>
  <si>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</si>
  <si>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</si>
  <si>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</si>
  <si>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</si>
  <si>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</si>
  <si>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</si>
  <si>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</si>
  <si>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</si>
  <si>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</si>
  <si>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</si>
  <si>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</si>
  <si>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</si>
  <si>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</si>
  <si>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</si>
  <si>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</si>
  <si>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</si>
  <si>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</si>
  <si>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</si>
  <si>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</si>
  <si>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</si>
  <si>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</si>
  <si>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</si>
  <si>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</si>
  <si>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</si>
  <si>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</si>
  <si>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</si>
  <si>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</si>
  <si>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</si>
  <si>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</si>
  <si>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</si>
  <si>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</si>
  <si>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</si>
  <si>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</si>
  <si>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</si>
  <si>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</si>
  <si>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</si>
  <si>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</si>
  <si>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Total general</t>
  </si>
  <si>
    <t>(Varios elementos)</t>
  </si>
  <si>
    <t>Diagramas de secuencia CRUD en Visual Paradigm</t>
  </si>
  <si>
    <t xml:space="preserve">S: 100% </t>
  </si>
  <si>
    <t>Comunicación de la solución (exposición)</t>
  </si>
  <si>
    <t xml:space="preserve">S: 70% </t>
  </si>
  <si>
    <t>Implementar una funcionalidad completa (CRUD) desde cero, conectando una interfaz de React con una API de Django y resolviendo problemas de integración y estado.</t>
  </si>
  <si>
    <t>1. Construir la interfaz del administrador para "Gestión de Torneos" en React, incluyendo un asistente de creación y lógica de edición/eliminación. &lt;br&gt; 2. Desarrollar el Dashboard de Estadísticas, integrando una librería de gráficos (Chart.js). &lt;br&gt; 3. Crear el endpoint (/api/statistics/) en el backend (Django) para servir los datos al dashboard. &lt;br&gt; 4. Depurar y solucionar errores de conexión (CORS, ECONNRESET), estado (pantallas en blanco) y merge de Git.</t>
  </si>
  <si>
    <t>Guía de IA (Gemini) para la estructura inicial y depuración; documentación de React y Django; el código existente del equipo (develop) como referencia para la arquitectura.</t>
  </si>
  <si>
    <t>Elaborar un plan de pruebas funcionales completo que sirva como
 base para la automatización con Selenium, 
cubriendo tanto la perspectiva del usuario (Frontend) 
como la del servidor (Backend).</t>
  </si>
  <si>
    <t>1. Analizar las HUs asignadas (Torneos, Estadísticas, Notificaciones) para identificar flujos críticos. &lt;br&gt; 2. Redactar casos de prueba en un formato formal (tipo Ingesoft 3), detallando precondiciones, pasos y resultados esperados. &lt;br&gt; 3. Incluir verificaciones específicas del backend (endpoints, códigos de estado, cambios en BD) para cada caso de prueba.</t>
  </si>
  <si>
    <t>El documento de requerimientos del proyecto (SRS); las Hus
 definidas en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</si>
</sst>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indexed="64"/>
      </right>
      <top style="thin">
        <color theme="7" tint="-0.249977111117893"/>
      </top>
      <bottom style="thin">
        <color theme="7" tint="-0.249977111117893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2" fillId="7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4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5" fillId="0" borderId="0" xfId="0" applyFont="1"/>
    <xf numFmtId="0" fontId="23" fillId="0" borderId="0" xfId="0" applyFont="1"/>
    <xf numFmtId="0" fontId="24" fillId="7" borderId="2" xfId="0" applyFont="1" applyFill="1" applyBorder="1"/>
    <xf numFmtId="0" fontId="24" fillId="7" borderId="2" xfId="0" applyFont="1" applyFill="1" applyBorder="1" applyAlignment="1">
      <alignment wrapText="1"/>
    </xf>
    <xf numFmtId="0" fontId="24" fillId="7" borderId="2" xfId="0" applyFont="1" applyFill="1" applyBorder="1" applyAlignment="1">
      <alignment horizontal="left" vertical="top"/>
    </xf>
    <xf numFmtId="0" fontId="24" fillId="7" borderId="2" xfId="0" applyFont="1" applyFill="1" applyBorder="1" applyAlignment="1">
      <alignment vertical="top" wrapText="1"/>
    </xf>
    <xf numFmtId="0" fontId="24" fillId="7" borderId="8" xfId="0" applyFont="1" applyFill="1" applyBorder="1" applyAlignment="1">
      <alignment vertical="top" wrapText="1"/>
    </xf>
    <xf numFmtId="0" fontId="0" fillId="0" borderId="7" xfId="0" applyBorder="1" applyAlignment="1">
      <alignment vertical="top"/>
    </xf>
    <xf numFmtId="0" fontId="24" fillId="0" borderId="14" xfId="0" applyFont="1" applyBorder="1" applyAlignment="1">
      <alignment vertical="top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5" fontId="24" fillId="0" borderId="7" xfId="0" applyNumberFormat="1" applyFont="1" applyBorder="1" applyAlignment="1">
      <alignment vertical="top"/>
    </xf>
    <xf numFmtId="14" fontId="0" fillId="0" borderId="7" xfId="0" applyNumberFormat="1" applyBorder="1" applyAlignment="1">
      <alignment vertical="top"/>
    </xf>
    <xf numFmtId="0" fontId="25" fillId="7" borderId="2" xfId="0" applyFont="1" applyFill="1" applyBorder="1" applyAlignment="1">
      <alignment wrapText="1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3.5</c:v>
                </c:pt>
                <c:pt idx="3">
                  <c:v>3.5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n v="0"/>
    <x v="0"/>
  </r>
  <r>
    <x v="1"/>
    <n v="3"/>
    <n v="5"/>
    <x v="1"/>
  </r>
  <r>
    <x v="2"/>
    <n v="5"/>
    <n v="5"/>
    <x v="1"/>
  </r>
  <r>
    <x v="3"/>
    <n v="0"/>
    <n v="0"/>
    <x v="0"/>
  </r>
  <r>
    <x v="4"/>
    <n v="5"/>
    <n v="0"/>
    <x v="2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0"/>
  </r>
  <r>
    <x v="10"/>
    <n v="3"/>
    <n v="0"/>
    <x v="3"/>
  </r>
  <r>
    <x v="11"/>
    <n v="5"/>
    <n v="0"/>
    <x v="2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0"/>
  </r>
  <r>
    <x v="16"/>
    <n v="0"/>
    <n v="0"/>
    <x v="0"/>
  </r>
  <r>
    <x v="17"/>
    <n v="5"/>
    <n v="5"/>
    <x v="1"/>
  </r>
  <r>
    <x v="18"/>
    <n v="5"/>
    <n v="3"/>
    <x v="3"/>
  </r>
  <r>
    <x v="19"/>
    <n v="3"/>
    <n v="0"/>
    <x v="3"/>
  </r>
  <r>
    <x v="20"/>
    <n v="5"/>
    <n v="5"/>
    <x v="1"/>
  </r>
  <r>
    <x v="21"/>
    <n v="3"/>
    <n v="3"/>
    <x v="3"/>
  </r>
  <r>
    <x v="22"/>
    <n v="5"/>
    <n v="0"/>
    <x v="2"/>
  </r>
  <r>
    <x v="23"/>
    <n v="5"/>
    <n v="0"/>
    <x v="2"/>
  </r>
  <r>
    <x v="24"/>
    <n v="0"/>
    <n v="5"/>
    <x v="1"/>
  </r>
  <r>
    <x v="25"/>
    <n v="5"/>
    <n v="0"/>
    <x v="2"/>
  </r>
  <r>
    <x v="26"/>
    <n v="0"/>
    <n v="5"/>
    <x v="1"/>
  </r>
  <r>
    <x v="27"/>
    <n v="0"/>
    <n v="3"/>
    <x v="0"/>
  </r>
  <r>
    <x v="28"/>
    <n v="5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sqref="A1:B1"/>
    </sheetView>
  </sheetViews>
  <sheetFormatPr baseColWidth="10" defaultColWidth="9.140625" defaultRowHeight="15" x14ac:dyDescent="0.25"/>
  <cols>
    <col min="2" max="2" width="154.5703125" customWidth="1"/>
  </cols>
  <sheetData>
    <row r="1" spans="1:6" x14ac:dyDescent="0.25">
      <c r="A1" s="43"/>
      <c r="B1" s="13"/>
    </row>
    <row r="2" spans="1:6" ht="46.5" x14ac:dyDescent="0.7">
      <c r="B2" s="36" t="s">
        <v>0</v>
      </c>
      <c r="D2" s="37"/>
      <c r="E2" s="37"/>
      <c r="F2" s="37"/>
    </row>
    <row r="4" spans="1:6" ht="45.75" x14ac:dyDescent="0.25">
      <c r="B4" s="40" t="s">
        <v>1</v>
      </c>
    </row>
    <row r="5" spans="1:6" ht="15.75" x14ac:dyDescent="0.25">
      <c r="B5" s="40"/>
    </row>
    <row r="6" spans="1:6" ht="15.75" x14ac:dyDescent="0.25">
      <c r="B6" s="41" t="s">
        <v>2</v>
      </c>
    </row>
    <row r="7" spans="1:6" ht="34.5" x14ac:dyDescent="0.45">
      <c r="B7" s="41" t="s">
        <v>3</v>
      </c>
      <c r="C7" s="38"/>
    </row>
    <row r="8" spans="1:6" ht="28.5" x14ac:dyDescent="0.45">
      <c r="B8" s="41" t="s">
        <v>4</v>
      </c>
      <c r="C8" s="38"/>
    </row>
    <row r="9" spans="1:6" ht="28.5" x14ac:dyDescent="0.45">
      <c r="B9" s="41" t="s">
        <v>5</v>
      </c>
      <c r="C9" s="38"/>
    </row>
    <row r="10" spans="1:6" ht="15.75" x14ac:dyDescent="0.25">
      <c r="B10" s="41" t="s">
        <v>6</v>
      </c>
    </row>
    <row r="11" spans="1:6" ht="15.75" x14ac:dyDescent="0.25">
      <c r="B11" s="39"/>
    </row>
    <row r="12" spans="1:6" ht="30.75" x14ac:dyDescent="0.25">
      <c r="B12" s="40" t="s">
        <v>7</v>
      </c>
    </row>
    <row r="13" spans="1:6" ht="15.75" x14ac:dyDescent="0.25">
      <c r="B13" s="39"/>
    </row>
    <row r="14" spans="1:6" ht="15.75" x14ac:dyDescent="0.25">
      <c r="B14" s="42" t="s">
        <v>8</v>
      </c>
    </row>
    <row r="15" spans="1:6" ht="15.75" x14ac:dyDescent="0.25">
      <c r="B15" s="42" t="s">
        <v>9</v>
      </c>
    </row>
    <row r="16" spans="1:6" ht="15.75" x14ac:dyDescent="0.25">
      <c r="B16" s="42" t="s">
        <v>10</v>
      </c>
    </row>
    <row r="17" spans="2:2" ht="15.75" x14ac:dyDescent="0.25">
      <c r="B17" s="42" t="s">
        <v>11</v>
      </c>
    </row>
    <row r="18" spans="2:2" ht="15.75" x14ac:dyDescent="0.25">
      <c r="B18" s="42" t="s">
        <v>12</v>
      </c>
    </row>
    <row r="19" spans="2:2" ht="15.75" x14ac:dyDescent="0.25">
      <c r="B19" s="39" t="s">
        <v>13</v>
      </c>
    </row>
    <row r="21" spans="2:2" x14ac:dyDescent="0.25">
      <c r="B21" s="43" t="s">
        <v>14</v>
      </c>
    </row>
    <row r="52" spans="1:2" x14ac:dyDescent="0.25">
      <c r="A52" s="43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workbookViewId="0">
      <selection activeCell="E19" sqref="E19"/>
    </sheetView>
  </sheetViews>
  <sheetFormatPr baseColWidth="10" defaultColWidth="9.140625" defaultRowHeight="15" x14ac:dyDescent="0.25"/>
  <cols>
    <col min="1" max="1" width="5.5703125" customWidth="1"/>
    <col min="2" max="2" width="5.7109375" customWidth="1"/>
    <col min="3" max="3" width="31.85546875" bestFit="1" customWidth="1"/>
    <col min="4" max="4" width="41.5703125" customWidth="1"/>
    <col min="5" max="5" width="15" bestFit="1" customWidth="1"/>
  </cols>
  <sheetData>
    <row r="2" spans="2:17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 x14ac:dyDescent="0.25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 x14ac:dyDescent="0.25">
      <c r="B9" s="9"/>
      <c r="C9" s="51" t="s">
        <v>17</v>
      </c>
      <c r="D9" s="10" t="s">
        <v>18</v>
      </c>
      <c r="E9" s="11">
        <v>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x14ac:dyDescent="0.25">
      <c r="B10" s="9"/>
      <c r="C10" s="52"/>
      <c r="D10" s="10" t="s">
        <v>19</v>
      </c>
      <c r="E10" s="11">
        <v>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x14ac:dyDescent="0.25">
      <c r="B11" s="9"/>
      <c r="C11" s="52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x14ac:dyDescent="0.25">
      <c r="B12" s="9"/>
      <c r="C12" s="52"/>
      <c r="D12" s="10" t="s">
        <v>21</v>
      </c>
      <c r="E12" s="11">
        <v>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x14ac:dyDescent="0.25">
      <c r="B13" s="9"/>
      <c r="C13" s="52"/>
      <c r="D13" s="10" t="s">
        <v>22</v>
      </c>
      <c r="E13" s="11">
        <v>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x14ac:dyDescent="0.25">
      <c r="B14" s="9"/>
      <c r="C14" s="52"/>
      <c r="D14" s="10" t="s">
        <v>23</v>
      </c>
      <c r="E14" s="11">
        <v>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x14ac:dyDescent="0.25">
      <c r="B15" s="9"/>
      <c r="C15" s="53"/>
      <c r="D15" s="10" t="s">
        <v>24</v>
      </c>
      <c r="E15" s="11">
        <v>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 x14ac:dyDescent="0.25">
      <c r="B16" s="9"/>
      <c r="C16" s="51" t="s">
        <v>25</v>
      </c>
      <c r="D16" s="12" t="s">
        <v>26</v>
      </c>
      <c r="E16" s="11">
        <v>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25">
      <c r="B17" s="9"/>
      <c r="C17" s="53"/>
      <c r="D17" s="12" t="s">
        <v>27</v>
      </c>
      <c r="E17" s="11">
        <v>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 x14ac:dyDescent="0.25">
      <c r="B18" s="9"/>
      <c r="C18" s="51" t="s">
        <v>28</v>
      </c>
      <c r="D18" s="12" t="s">
        <v>29</v>
      </c>
      <c r="E18" s="11">
        <v>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25">
      <c r="B19" s="9"/>
      <c r="C19" s="52"/>
      <c r="D19" s="12" t="s">
        <v>30</v>
      </c>
      <c r="E19" s="11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25">
      <c r="B20" s="9"/>
      <c r="C20" s="53"/>
      <c r="D20" s="12" t="s">
        <v>31</v>
      </c>
      <c r="E20" s="11">
        <v>3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2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19" workbookViewId="0">
      <selection activeCell="D40" sqref="D40"/>
    </sheetView>
  </sheetViews>
  <sheetFormatPr baseColWidth="10" defaultColWidth="9.140625" defaultRowHeight="15" x14ac:dyDescent="0.25"/>
  <cols>
    <col min="1" max="1" width="4.42578125" customWidth="1"/>
    <col min="2" max="2" width="5.42578125" customWidth="1"/>
    <col min="3" max="3" width="50" bestFit="1" customWidth="1"/>
    <col min="4" max="4" width="17.28515625" bestFit="1" customWidth="1"/>
  </cols>
  <sheetData>
    <row r="2" spans="2:17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25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25">
      <c r="B8" s="3"/>
      <c r="C8" s="4" t="s">
        <v>33</v>
      </c>
      <c r="D8" s="5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25">
      <c r="B9" s="3"/>
      <c r="C9" s="4" t="s">
        <v>34</v>
      </c>
      <c r="D9" s="5">
        <v>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3"/>
      <c r="C10" s="4" t="s">
        <v>35</v>
      </c>
      <c r="D10" s="5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25">
      <c r="B11" s="3"/>
      <c r="C11" s="4" t="s">
        <v>36</v>
      </c>
      <c r="D11" s="5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3"/>
      <c r="C12" s="4" t="s">
        <v>37</v>
      </c>
      <c r="D12" s="5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4" t="s">
        <v>38</v>
      </c>
      <c r="D13" s="5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3"/>
      <c r="C15" s="4" t="s">
        <v>40</v>
      </c>
      <c r="D15" s="5">
        <v>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25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25">
      <c r="B34" s="6"/>
      <c r="C34" s="7" t="s">
        <v>42</v>
      </c>
      <c r="D34" s="8">
        <v>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25">
      <c r="B35" s="6"/>
      <c r="C35" s="7" t="s">
        <v>43</v>
      </c>
      <c r="D35" s="8">
        <v>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25">
      <c r="B36" s="6"/>
      <c r="C36" s="7" t="s">
        <v>44</v>
      </c>
      <c r="D36" s="8">
        <v>3.5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25">
      <c r="B37" s="6"/>
      <c r="C37" s="7" t="s">
        <v>45</v>
      </c>
      <c r="D37" s="8">
        <v>3.5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B38" s="6"/>
      <c r="C38" s="7" t="s">
        <v>46</v>
      </c>
      <c r="D38" s="8">
        <v>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B39" s="6"/>
      <c r="C39" s="7" t="s">
        <v>47</v>
      </c>
      <c r="D39" s="8">
        <v>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B40" s="6"/>
      <c r="C40" s="7" t="s">
        <v>48</v>
      </c>
      <c r="D40" s="8">
        <v>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B42" s="6"/>
      <c r="C42" s="7" t="s">
        <v>50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tabSelected="1" topLeftCell="A18" workbookViewId="0">
      <selection activeCell="E44" sqref="E44"/>
    </sheetView>
  </sheetViews>
  <sheetFormatPr baseColWidth="10" defaultColWidth="9.140625" defaultRowHeight="15" x14ac:dyDescent="0.25"/>
  <cols>
    <col min="2" max="2" width="31.85546875" customWidth="1"/>
    <col min="3" max="3" width="46.85546875" customWidth="1"/>
    <col min="4" max="4" width="24.85546875" bestFit="1" customWidth="1"/>
    <col min="5" max="5" width="18.5703125" customWidth="1"/>
    <col min="6" max="6" width="19.7109375" customWidth="1"/>
  </cols>
  <sheetData>
    <row r="2" spans="2:6" x14ac:dyDescent="0.25">
      <c r="B2" s="59"/>
      <c r="C2" s="59"/>
      <c r="D2" s="60" t="s">
        <v>51</v>
      </c>
      <c r="E2" s="60"/>
      <c r="F2" s="43" t="s">
        <v>14</v>
      </c>
    </row>
    <row r="3" spans="2:6" x14ac:dyDescent="0.25">
      <c r="B3" s="15"/>
      <c r="C3" s="15"/>
    </row>
    <row r="4" spans="2:6" ht="26.25" customHeight="1" x14ac:dyDescent="0.25">
      <c r="B4" s="15"/>
      <c r="C4" s="15"/>
      <c r="D4" s="16" t="s">
        <v>52</v>
      </c>
      <c r="E4" s="16" t="s">
        <v>53</v>
      </c>
      <c r="F4" s="16" t="s">
        <v>54</v>
      </c>
    </row>
    <row r="5" spans="2:6" x14ac:dyDescent="0.25">
      <c r="B5" s="15"/>
      <c r="C5" s="15"/>
    </row>
    <row r="6" spans="2:6" x14ac:dyDescent="0.25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 x14ac:dyDescent="0.25">
      <c r="B7" s="61" t="s">
        <v>17</v>
      </c>
      <c r="C7" s="20" t="s">
        <v>18</v>
      </c>
      <c r="D7" s="21">
        <v>5</v>
      </c>
      <c r="E7" s="21">
        <v>3</v>
      </c>
      <c r="F7" s="21" t="str">
        <f t="shared" ref="F7:F35" si="0">IF(E7=5,"OK",IF(D7=0,"Puede esperar",IF(AND(D7=5,E7=0),"Urgente","Importante")))</f>
        <v>Importante</v>
      </c>
    </row>
    <row r="8" spans="2:6" x14ac:dyDescent="0.25">
      <c r="B8" s="61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 x14ac:dyDescent="0.25">
      <c r="B9" s="61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 x14ac:dyDescent="0.25">
      <c r="B10" s="61"/>
      <c r="C10" s="20" t="s">
        <v>21</v>
      </c>
      <c r="D10" s="21">
        <v>3</v>
      </c>
      <c r="E10" s="21">
        <v>3</v>
      </c>
      <c r="F10" s="21" t="str">
        <f t="shared" si="0"/>
        <v>Importante</v>
      </c>
    </row>
    <row r="11" spans="2:6" x14ac:dyDescent="0.25">
      <c r="B11" s="61"/>
      <c r="C11" s="20" t="s">
        <v>22</v>
      </c>
      <c r="D11" s="21">
        <v>3</v>
      </c>
      <c r="E11" s="21">
        <v>3</v>
      </c>
      <c r="F11" s="21" t="str">
        <f t="shared" si="0"/>
        <v>Importante</v>
      </c>
    </row>
    <row r="12" spans="2:6" x14ac:dyDescent="0.25">
      <c r="B12" s="61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 x14ac:dyDescent="0.25">
      <c r="B13" s="61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 x14ac:dyDescent="0.25">
      <c r="B14" s="62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 x14ac:dyDescent="0.25">
      <c r="B15" s="63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 x14ac:dyDescent="0.25">
      <c r="B16" s="64" t="s">
        <v>28</v>
      </c>
      <c r="C16" s="22" t="s">
        <v>29</v>
      </c>
      <c r="D16" s="21">
        <v>3</v>
      </c>
      <c r="E16" s="21">
        <v>3</v>
      </c>
      <c r="F16" s="21" t="str">
        <f t="shared" si="0"/>
        <v>Importante</v>
      </c>
    </row>
    <row r="17" spans="2:6" x14ac:dyDescent="0.25">
      <c r="B17" s="62"/>
      <c r="C17" s="22" t="s">
        <v>30</v>
      </c>
      <c r="D17" s="21">
        <v>3</v>
      </c>
      <c r="E17" s="21">
        <v>3</v>
      </c>
      <c r="F17" s="21" t="str">
        <f t="shared" si="0"/>
        <v>Importante</v>
      </c>
    </row>
    <row r="18" spans="2:6" x14ac:dyDescent="0.25">
      <c r="B18" s="63"/>
      <c r="C18" s="22" t="s">
        <v>31</v>
      </c>
      <c r="D18" s="21">
        <v>5</v>
      </c>
      <c r="E18" s="21">
        <v>3</v>
      </c>
      <c r="F18" s="21" t="str">
        <f t="shared" si="0"/>
        <v>Importante</v>
      </c>
    </row>
    <row r="19" spans="2:6" x14ac:dyDescent="0.25">
      <c r="B19" s="54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 ht="28.5" x14ac:dyDescent="0.25">
      <c r="B20" s="55"/>
      <c r="C20" s="23" t="s">
        <v>34</v>
      </c>
      <c r="D20" s="21">
        <v>5</v>
      </c>
      <c r="E20" s="21">
        <v>5</v>
      </c>
      <c r="F20" s="21" t="str">
        <f t="shared" si="0"/>
        <v>OK</v>
      </c>
    </row>
    <row r="21" spans="2:6" x14ac:dyDescent="0.25">
      <c r="B21" s="55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 x14ac:dyDescent="0.25">
      <c r="B22" s="55"/>
      <c r="C22" s="23" t="s">
        <v>36</v>
      </c>
      <c r="D22" s="21">
        <v>5</v>
      </c>
      <c r="E22" s="21">
        <v>3</v>
      </c>
      <c r="F22" s="21" t="str">
        <f t="shared" si="0"/>
        <v>Importante</v>
      </c>
    </row>
    <row r="23" spans="2:6" ht="28.5" x14ac:dyDescent="0.25">
      <c r="B23" s="55"/>
      <c r="C23" s="23" t="s">
        <v>37</v>
      </c>
      <c r="D23" s="21">
        <v>3</v>
      </c>
      <c r="E23" s="21">
        <v>3</v>
      </c>
      <c r="F23" s="21" t="str">
        <f t="shared" si="0"/>
        <v>Importante</v>
      </c>
    </row>
    <row r="24" spans="2:6" x14ac:dyDescent="0.25">
      <c r="B24" s="55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ht="28.5" x14ac:dyDescent="0.25">
      <c r="B25" s="55"/>
      <c r="C25" s="23" t="s">
        <v>39</v>
      </c>
      <c r="D25" s="21">
        <v>5</v>
      </c>
      <c r="E25" s="21">
        <v>3</v>
      </c>
      <c r="F25" s="21" t="str">
        <f t="shared" si="0"/>
        <v>Importante</v>
      </c>
    </row>
    <row r="26" spans="2:6" x14ac:dyDescent="0.25">
      <c r="B26" s="56"/>
      <c r="C26" s="23" t="s">
        <v>40</v>
      </c>
      <c r="D26" s="21">
        <v>5</v>
      </c>
      <c r="E26" s="21">
        <v>3</v>
      </c>
      <c r="F26" s="21" t="str">
        <f t="shared" si="0"/>
        <v>Importante</v>
      </c>
    </row>
    <row r="27" spans="2:6" x14ac:dyDescent="0.25">
      <c r="B27" s="57" t="s">
        <v>41</v>
      </c>
      <c r="C27" s="24" t="s">
        <v>42</v>
      </c>
      <c r="D27" s="21">
        <v>5</v>
      </c>
      <c r="E27" s="21">
        <v>5</v>
      </c>
      <c r="F27" s="21" t="str">
        <f t="shared" si="0"/>
        <v>OK</v>
      </c>
    </row>
    <row r="28" spans="2:6" x14ac:dyDescent="0.25">
      <c r="B28" s="58"/>
      <c r="C28" s="24" t="s">
        <v>43</v>
      </c>
      <c r="D28" s="21">
        <v>3</v>
      </c>
      <c r="E28" s="21">
        <v>3</v>
      </c>
      <c r="F28" s="21" t="str">
        <f t="shared" si="0"/>
        <v>Importante</v>
      </c>
    </row>
    <row r="29" spans="2:6" x14ac:dyDescent="0.25">
      <c r="B29" s="58"/>
      <c r="C29" s="24" t="s">
        <v>44</v>
      </c>
      <c r="D29" s="21">
        <v>5</v>
      </c>
      <c r="E29" s="21">
        <v>3</v>
      </c>
      <c r="F29" s="21" t="str">
        <f t="shared" si="0"/>
        <v>Importante</v>
      </c>
    </row>
    <row r="30" spans="2:6" x14ac:dyDescent="0.25">
      <c r="B30" s="58"/>
      <c r="C30" s="24" t="s">
        <v>45</v>
      </c>
      <c r="D30" s="21">
        <v>5</v>
      </c>
      <c r="E30" s="21">
        <v>3</v>
      </c>
      <c r="F30" s="21" t="str">
        <f t="shared" si="0"/>
        <v>Importante</v>
      </c>
    </row>
    <row r="31" spans="2:6" x14ac:dyDescent="0.25">
      <c r="B31" s="58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 ht="29.25" x14ac:dyDescent="0.25">
      <c r="B32" s="58"/>
      <c r="C32" s="24" t="s">
        <v>47</v>
      </c>
      <c r="D32" s="21">
        <v>5</v>
      </c>
      <c r="E32" s="21">
        <v>0</v>
      </c>
      <c r="F32" s="21" t="str">
        <f t="shared" si="0"/>
        <v>Urgente</v>
      </c>
    </row>
    <row r="33" spans="2:6" ht="29.25" x14ac:dyDescent="0.25">
      <c r="B33" s="58"/>
      <c r="C33" s="24" t="s">
        <v>48</v>
      </c>
      <c r="D33" s="21">
        <v>5</v>
      </c>
      <c r="E33" s="21">
        <v>5</v>
      </c>
      <c r="F33" s="21" t="str">
        <f t="shared" si="0"/>
        <v>OK</v>
      </c>
    </row>
    <row r="34" spans="2:6" x14ac:dyDescent="0.25">
      <c r="B34" s="58"/>
      <c r="C34" s="24" t="s">
        <v>49</v>
      </c>
      <c r="D34" s="21">
        <v>3</v>
      </c>
      <c r="E34" s="21">
        <v>3</v>
      </c>
      <c r="F34" s="21" t="str">
        <f t="shared" si="0"/>
        <v>Importante</v>
      </c>
    </row>
    <row r="35" spans="2:6" x14ac:dyDescent="0.25">
      <c r="B35" s="58"/>
      <c r="C35" s="24" t="s">
        <v>50</v>
      </c>
      <c r="D35" s="21">
        <v>5</v>
      </c>
      <c r="E35" s="21">
        <v>3</v>
      </c>
      <c r="F35" s="21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42.42578125" bestFit="1" customWidth="1"/>
    <col min="2" max="2" width="18.28515625" bestFit="1" customWidth="1"/>
  </cols>
  <sheetData>
    <row r="1" spans="1:2" x14ac:dyDescent="0.25">
      <c r="A1" s="17" t="s">
        <v>54</v>
      </c>
      <c r="B1" t="s">
        <v>68</v>
      </c>
    </row>
    <row r="3" spans="1:2" x14ac:dyDescent="0.25">
      <c r="A3" s="17" t="s">
        <v>55</v>
      </c>
    </row>
    <row r="4" spans="1:2" x14ac:dyDescent="0.25">
      <c r="A4" t="s">
        <v>30</v>
      </c>
    </row>
    <row r="5" spans="1:2" x14ac:dyDescent="0.25">
      <c r="A5" t="s">
        <v>22</v>
      </c>
    </row>
    <row r="6" spans="1:2" x14ac:dyDescent="0.25">
      <c r="A6" t="s">
        <v>40</v>
      </c>
    </row>
    <row r="7" spans="1:2" x14ac:dyDescent="0.25">
      <c r="A7" t="s">
        <v>45</v>
      </c>
    </row>
    <row r="8" spans="1:2" x14ac:dyDescent="0.25">
      <c r="A8" t="s">
        <v>39</v>
      </c>
    </row>
    <row r="9" spans="1:2" x14ac:dyDescent="0.25">
      <c r="A9" t="s">
        <v>43</v>
      </c>
    </row>
    <row r="10" spans="1:2" x14ac:dyDescent="0.25">
      <c r="A10" t="s">
        <v>31</v>
      </c>
    </row>
    <row r="11" spans="1:2" x14ac:dyDescent="0.25">
      <c r="A11" t="s">
        <v>50</v>
      </c>
    </row>
    <row r="12" spans="1:2" x14ac:dyDescent="0.25">
      <c r="A12" t="s">
        <v>47</v>
      </c>
    </row>
    <row r="13" spans="1:2" x14ac:dyDescent="0.25">
      <c r="A13" t="s">
        <v>44</v>
      </c>
    </row>
    <row r="14" spans="1:2" x14ac:dyDescent="0.25">
      <c r="A14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0"/>
  <sheetViews>
    <sheetView topLeftCell="B6" workbookViewId="0">
      <selection activeCell="D13" sqref="D13"/>
    </sheetView>
  </sheetViews>
  <sheetFormatPr baseColWidth="10" defaultColWidth="9.140625" defaultRowHeight="15" x14ac:dyDescent="0.25"/>
  <cols>
    <col min="1" max="1" width="3.28515625" customWidth="1"/>
    <col min="2" max="2" width="56.85546875" customWidth="1"/>
    <col min="3" max="3" width="60" customWidth="1"/>
    <col min="4" max="4" width="33" customWidth="1"/>
    <col min="5" max="5" width="63.5703125" customWidth="1"/>
    <col min="6" max="6" width="37.5703125" customWidth="1"/>
    <col min="7" max="7" width="40.85546875" customWidth="1"/>
  </cols>
  <sheetData>
    <row r="2" spans="2:7" ht="44.25" x14ac:dyDescent="0.6">
      <c r="B2" s="65" t="s">
        <v>58</v>
      </c>
      <c r="C2" s="65"/>
      <c r="D2" s="65"/>
      <c r="E2" s="65"/>
      <c r="F2" s="65"/>
      <c r="G2" s="65"/>
    </row>
    <row r="4" spans="2:7" ht="15.75" x14ac:dyDescent="0.25">
      <c r="B4" s="28" t="s">
        <v>59</v>
      </c>
      <c r="C4" s="29" t="s">
        <v>60</v>
      </c>
      <c r="D4" s="29" t="s">
        <v>61</v>
      </c>
      <c r="E4" s="30" t="s">
        <v>62</v>
      </c>
      <c r="F4" s="31" t="s">
        <v>63</v>
      </c>
      <c r="G4" s="31" t="s">
        <v>64</v>
      </c>
    </row>
    <row r="5" spans="2:7" x14ac:dyDescent="0.25">
      <c r="B5" s="32"/>
      <c r="C5" s="33" t="s">
        <v>65</v>
      </c>
      <c r="D5" s="33" t="s">
        <v>66</v>
      </c>
      <c r="E5" s="34"/>
      <c r="F5" s="35"/>
      <c r="G5" s="35"/>
    </row>
    <row r="6" spans="2:7" ht="252" x14ac:dyDescent="0.25">
      <c r="B6" s="46" t="s">
        <v>69</v>
      </c>
      <c r="C6" s="47" t="s">
        <v>73</v>
      </c>
      <c r="D6" s="45" t="s">
        <v>74</v>
      </c>
      <c r="E6" s="48" t="s">
        <v>75</v>
      </c>
      <c r="F6" s="66">
        <v>45939</v>
      </c>
      <c r="G6" s="50" t="s">
        <v>70</v>
      </c>
    </row>
    <row r="7" spans="2:7" ht="189" x14ac:dyDescent="0.25">
      <c r="B7" s="44" t="s">
        <v>71</v>
      </c>
      <c r="C7" s="45" t="s">
        <v>76</v>
      </c>
      <c r="D7" s="68" t="s">
        <v>77</v>
      </c>
      <c r="E7" s="48" t="s">
        <v>78</v>
      </c>
      <c r="F7" s="67">
        <v>45939</v>
      </c>
      <c r="G7" s="49" t="s">
        <v>72</v>
      </c>
    </row>
    <row r="8" spans="2:7" ht="22.5" x14ac:dyDescent="0.35">
      <c r="B8" s="25"/>
      <c r="C8" s="26"/>
      <c r="D8" s="26"/>
      <c r="E8" s="27"/>
      <c r="F8" s="21"/>
      <c r="G8" s="21"/>
    </row>
    <row r="9" spans="2:7" ht="22.5" x14ac:dyDescent="0.35">
      <c r="B9" s="25"/>
      <c r="C9" s="26"/>
      <c r="D9" s="26"/>
      <c r="E9" s="27"/>
      <c r="F9" s="21"/>
      <c r="G9" s="21"/>
    </row>
    <row r="10" spans="2:7" ht="22.5" x14ac:dyDescent="0.35">
      <c r="B10" s="25"/>
      <c r="C10" s="26"/>
      <c r="D10" s="26"/>
      <c r="E10" s="27"/>
      <c r="F10" s="21"/>
      <c r="G10" s="21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Romero</cp:lastModifiedBy>
  <cp:revision/>
  <dcterms:created xsi:type="dcterms:W3CDTF">2025-08-08T19:10:45Z</dcterms:created>
  <dcterms:modified xsi:type="dcterms:W3CDTF">2025-11-10T03:46:09Z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